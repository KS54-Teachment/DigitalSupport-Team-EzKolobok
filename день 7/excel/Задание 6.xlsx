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408\Downloads\"/>
    </mc:Choice>
  </mc:AlternateContent>
  <xr:revisionPtr revIDLastSave="0" documentId="13_ncr:1_{633D232A-B1EB-4613-B3CA-0B5CFCA79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  <sheet name="Анализ обращени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2" l="1"/>
  <c r="F8" i="2"/>
  <c r="E8" i="2"/>
  <c r="D8" i="2"/>
  <c r="C8" i="2"/>
  <c r="G7" i="2"/>
  <c r="G6" i="2"/>
  <c r="G5" i="2"/>
</calcChain>
</file>

<file path=xl/sharedStrings.xml><?xml version="1.0" encoding="utf-8"?>
<sst xmlns="http://schemas.openxmlformats.org/spreadsheetml/2006/main" count="78" uniqueCount="37">
  <si>
    <t>ID</t>
  </si>
  <si>
    <t>Пользователь</t>
  </si>
  <si>
    <t>Проблема</t>
  </si>
  <si>
    <t>Категория</t>
  </si>
  <si>
    <t>Приоритет</t>
  </si>
  <si>
    <t>Статус</t>
  </si>
  <si>
    <t>Ответственный</t>
  </si>
  <si>
    <t>Бабушка</t>
  </si>
  <si>
    <t>Не могу войти в Госуслуги</t>
  </si>
  <si>
    <t>Базовые</t>
  </si>
  <si>
    <t>Высокий</t>
  </si>
  <si>
    <t>Решено</t>
  </si>
  <si>
    <t>Александр Минаков</t>
  </si>
  <si>
    <t>Дедушка</t>
  </si>
  <si>
    <t>Забыл пароль от почты</t>
  </si>
  <si>
    <t>Средний</t>
  </si>
  <si>
    <t>Студент</t>
  </si>
  <si>
    <t>Не работает интернет</t>
  </si>
  <si>
    <t>Технические</t>
  </si>
  <si>
    <t>Шнурников Илья</t>
  </si>
  <si>
    <t>Cneltyn</t>
  </si>
  <si>
    <t>Подозрительное письмо от банка</t>
  </si>
  <si>
    <t>Мошенничество</t>
  </si>
  <si>
    <t>В работе</t>
  </si>
  <si>
    <t>Шорохов Артём</t>
  </si>
  <si>
    <t>Мужчина</t>
  </si>
  <si>
    <t>Как установить приложение</t>
  </si>
  <si>
    <t>Низкий</t>
  </si>
  <si>
    <t>Как записаться к врачу</t>
  </si>
  <si>
    <t>Как оплатить ЖКХ</t>
  </si>
  <si>
    <t>Как создать надежный пароль</t>
  </si>
  <si>
    <t>Как пользоваться облачным диском</t>
  </si>
  <si>
    <t>AlessandroCool6228</t>
  </si>
  <si>
    <t>Как защитить данные бабушки</t>
  </si>
  <si>
    <t>Максимальный</t>
  </si>
  <si>
    <t>Анализ обращений по категориям и критичности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</si>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</sst>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Segoe UI"/>
    </font>
    <font>
      <b/>
      <sz val="11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3" fillId="0" borderId="0" xfId="0" applyFont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center"/>
    </xf>
    <xf numFmtId="0" fontId="2" fillId="0" borderId="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обращений по критичности и категориям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'Анализ обращений'!$C$4</c:f>
              <c:strCache>
                <c:ptCount val="1"/>
                <c:pt idx="0">
                  <c:v>Низкий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обращений'!$C$5:$C$7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358-9396-FC5892150856}"/>
            </c:ext>
          </c:extLst>
        </c:ser>
        <c:ser>
          <c:idx val="1"/>
          <c:order val="1"/>
          <c:tx>
            <c:strRef>
              <c:f>'Анализ обращений'!$D$4</c:f>
              <c:strCache>
                <c:ptCount val="1"/>
                <c:pt idx="0">
                  <c:v>Средний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обращений'!$D$5:$D$7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0-4358-9396-FC5892150856}"/>
            </c:ext>
          </c:extLst>
        </c:ser>
        <c:ser>
          <c:idx val="2"/>
          <c:order val="2"/>
          <c:tx>
            <c:strRef>
              <c:f>'Анализ обращений'!$E$4</c:f>
              <c:strCache>
                <c:ptCount val="1"/>
                <c:pt idx="0">
                  <c:v>Высокий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обращений'!$E$5:$E$7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0-4358-9396-FC5892150856}"/>
            </c:ext>
          </c:extLst>
        </c:ser>
        <c:ser>
          <c:idx val="3"/>
          <c:order val="3"/>
          <c:tx>
            <c:strRef>
              <c:f>'Анализ обращений'!$F$4</c:f>
              <c:strCache>
                <c:ptCount val="1"/>
                <c:pt idx="0">
                  <c:v>Максимальный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обращений'!$F$5:$F$7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0-4358-9396-FC5892150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Категории проблем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обращений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обращений по критичности и категориям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'Анализ обращений'!$C$4</c:f>
              <c:strCache>
                <c:ptCount val="1"/>
                <c:pt idx="0">
                  <c:v>Низкий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обращений'!$C$5:$C$7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7-45AC-8E89-F84F52D08A30}"/>
            </c:ext>
          </c:extLst>
        </c:ser>
        <c:ser>
          <c:idx val="1"/>
          <c:order val="1"/>
          <c:tx>
            <c:strRef>
              <c:f>'Анализ обращений'!$D$4</c:f>
              <c:strCache>
                <c:ptCount val="1"/>
                <c:pt idx="0">
                  <c:v>Средний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обращений'!$D$5:$D$7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7-45AC-8E89-F84F52D08A30}"/>
            </c:ext>
          </c:extLst>
        </c:ser>
        <c:ser>
          <c:idx val="2"/>
          <c:order val="2"/>
          <c:tx>
            <c:strRef>
              <c:f>'Анализ обращений'!$E$4</c:f>
              <c:strCache>
                <c:ptCount val="1"/>
                <c:pt idx="0">
                  <c:v>Высокий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обращений'!$E$5:$E$7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7-45AC-8E89-F84F52D08A30}"/>
            </c:ext>
          </c:extLst>
        </c:ser>
        <c:ser>
          <c:idx val="3"/>
          <c:order val="3"/>
          <c:tx>
            <c:strRef>
              <c:f>'Анализ обращений'!$F$4</c:f>
              <c:strCache>
                <c:ptCount val="1"/>
                <c:pt idx="0">
                  <c:v>Максимальный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'Анализ обращений'!$B$5:$B$7</c:f>
              <c:strCache>
                <c:ptCount val="3"/>
                <c:pt idx="0">
                  <c:v>Базовые</c:v>
                </c:pt>
                <c:pt idx="1">
                  <c:v>Мошенничество</c:v>
                </c:pt>
                <c:pt idx="2">
                  <c:v>Технические</c:v>
                </c:pt>
              </c:strCache>
            </c:strRef>
          </c:cat>
          <c:val>
            <c:numRef>
              <c:f>'Анализ обращений'!$F$5:$F$7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7-45AC-8E89-F84F52D08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Категории проблем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обращений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9525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3D5CB-5804-4829-920E-826085414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P14" sqref="P14"/>
    </sheetView>
  </sheetViews>
  <sheetFormatPr defaultRowHeight="15" x14ac:dyDescent="0.25"/>
  <cols>
    <col min="1" max="1" width="12" customWidth="1"/>
    <col min="2" max="2" width="21" customWidth="1"/>
    <col min="3" max="3" width="35" customWidth="1"/>
    <col min="4" max="4" width="16" customWidth="1"/>
    <col min="5" max="5" width="15" customWidth="1"/>
    <col min="6" max="6" width="12" customWidth="1"/>
    <col min="7" max="7" width="20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3">
      <c r="A2" s="2">
        <v>0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3" t="s">
        <v>12</v>
      </c>
    </row>
    <row r="3" spans="1:7" ht="16.5" x14ac:dyDescent="0.3">
      <c r="A3" s="2">
        <v>1</v>
      </c>
      <c r="B3" s="3" t="s">
        <v>13</v>
      </c>
      <c r="C3" s="3" t="s">
        <v>14</v>
      </c>
      <c r="D3" s="3" t="s">
        <v>9</v>
      </c>
      <c r="E3" s="2" t="s">
        <v>15</v>
      </c>
      <c r="F3" s="2" t="s">
        <v>11</v>
      </c>
      <c r="G3" s="3" t="s">
        <v>12</v>
      </c>
    </row>
    <row r="4" spans="1:7" ht="16.5" x14ac:dyDescent="0.3">
      <c r="A4" s="2">
        <v>2</v>
      </c>
      <c r="B4" s="3" t="s">
        <v>16</v>
      </c>
      <c r="C4" s="3" t="s">
        <v>17</v>
      </c>
      <c r="D4" s="3" t="s">
        <v>18</v>
      </c>
      <c r="E4" s="2" t="s">
        <v>15</v>
      </c>
      <c r="F4" s="2" t="s">
        <v>11</v>
      </c>
      <c r="G4" s="3" t="s">
        <v>19</v>
      </c>
    </row>
    <row r="5" spans="1:7" ht="16.5" x14ac:dyDescent="0.3">
      <c r="A5" s="2">
        <v>3</v>
      </c>
      <c r="B5" s="3" t="s">
        <v>20</v>
      </c>
      <c r="C5" s="3" t="s">
        <v>21</v>
      </c>
      <c r="D5" s="3" t="s">
        <v>22</v>
      </c>
      <c r="E5" s="2" t="s">
        <v>10</v>
      </c>
      <c r="F5" s="2" t="s">
        <v>23</v>
      </c>
      <c r="G5" s="3" t="s">
        <v>24</v>
      </c>
    </row>
    <row r="6" spans="1:7" ht="16.5" x14ac:dyDescent="0.3">
      <c r="A6" s="2">
        <v>4</v>
      </c>
      <c r="B6" s="3" t="s">
        <v>25</v>
      </c>
      <c r="C6" s="3" t="s">
        <v>26</v>
      </c>
      <c r="D6" s="3" t="s">
        <v>9</v>
      </c>
      <c r="E6" s="2" t="s">
        <v>27</v>
      </c>
      <c r="F6" s="2" t="s">
        <v>23</v>
      </c>
      <c r="G6" s="3" t="s">
        <v>19</v>
      </c>
    </row>
    <row r="7" spans="1:7" ht="16.5" x14ac:dyDescent="0.3">
      <c r="A7" s="2">
        <v>5</v>
      </c>
      <c r="B7" s="3" t="s">
        <v>7</v>
      </c>
      <c r="C7" s="3" t="s">
        <v>28</v>
      </c>
      <c r="D7" s="3" t="s">
        <v>9</v>
      </c>
      <c r="E7" s="2" t="s">
        <v>15</v>
      </c>
      <c r="F7" s="2" t="s">
        <v>23</v>
      </c>
      <c r="G7" s="3" t="s">
        <v>12</v>
      </c>
    </row>
    <row r="8" spans="1:7" ht="16.5" x14ac:dyDescent="0.3">
      <c r="A8" s="2">
        <v>6</v>
      </c>
      <c r="B8" s="3" t="s">
        <v>7</v>
      </c>
      <c r="C8" s="3" t="s">
        <v>29</v>
      </c>
      <c r="D8" s="3" t="s">
        <v>9</v>
      </c>
      <c r="E8" s="2" t="s">
        <v>15</v>
      </c>
      <c r="F8" s="2" t="s">
        <v>11</v>
      </c>
      <c r="G8" s="3" t="s">
        <v>12</v>
      </c>
    </row>
    <row r="9" spans="1:7" ht="16.5" x14ac:dyDescent="0.3">
      <c r="A9" s="2">
        <v>7</v>
      </c>
      <c r="B9" s="3" t="s">
        <v>7</v>
      </c>
      <c r="C9" s="3" t="s">
        <v>30</v>
      </c>
      <c r="D9" s="3" t="s">
        <v>9</v>
      </c>
      <c r="E9" s="2" t="s">
        <v>27</v>
      </c>
      <c r="F9" s="2" t="s">
        <v>11</v>
      </c>
      <c r="G9" s="3" t="s">
        <v>24</v>
      </c>
    </row>
    <row r="10" spans="1:7" ht="16.5" x14ac:dyDescent="0.3">
      <c r="A10" s="2">
        <v>8</v>
      </c>
      <c r="B10" s="3" t="s">
        <v>7</v>
      </c>
      <c r="C10" s="3" t="s">
        <v>31</v>
      </c>
      <c r="D10" s="3" t="s">
        <v>9</v>
      </c>
      <c r="E10" s="2" t="s">
        <v>27</v>
      </c>
      <c r="F10" s="2" t="s">
        <v>23</v>
      </c>
      <c r="G10" s="3" t="s">
        <v>12</v>
      </c>
    </row>
    <row r="11" spans="1:7" ht="16.5" x14ac:dyDescent="0.3">
      <c r="A11" s="2">
        <v>9</v>
      </c>
      <c r="B11" s="3" t="s">
        <v>32</v>
      </c>
      <c r="C11" s="3" t="s">
        <v>33</v>
      </c>
      <c r="D11" s="3" t="s">
        <v>9</v>
      </c>
      <c r="E11" s="2" t="s">
        <v>34</v>
      </c>
      <c r="F11" s="2" t="s">
        <v>23</v>
      </c>
      <c r="G11" s="3" t="s">
        <v>24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"/>
  <sheetViews>
    <sheetView workbookViewId="0">
      <selection activeCell="A16" sqref="A16"/>
    </sheetView>
  </sheetViews>
  <sheetFormatPr defaultRowHeight="15" x14ac:dyDescent="0.25"/>
  <cols>
    <col min="2" max="2" width="20" customWidth="1"/>
    <col min="3" max="7" width="15" customWidth="1"/>
  </cols>
  <sheetData>
    <row r="2" spans="2:7" ht="20.25" x14ac:dyDescent="0.35">
      <c r="B2" s="4" t="s">
        <v>35</v>
      </c>
    </row>
    <row r="4" spans="2:7" ht="16.5" x14ac:dyDescent="0.3">
      <c r="B4" s="5" t="s">
        <v>3</v>
      </c>
      <c r="C4" s="6" t="s">
        <v>27</v>
      </c>
      <c r="D4" s="6" t="s">
        <v>15</v>
      </c>
      <c r="E4" s="6" t="s">
        <v>10</v>
      </c>
      <c r="F4" s="6" t="s">
        <v>34</v>
      </c>
      <c r="G4" s="6" t="s">
        <v>36</v>
      </c>
    </row>
    <row r="5" spans="2:7" ht="16.5" x14ac:dyDescent="0.3">
      <c r="B5" s="7" t="s">
        <v>9</v>
      </c>
      <c r="C5" s="8">
        <v>3</v>
      </c>
      <c r="D5" s="8">
        <v>3</v>
      </c>
      <c r="E5" s="8">
        <v>1</v>
      </c>
      <c r="F5" s="8">
        <v>1</v>
      </c>
      <c r="G5" s="6">
        <f>SUM(C5:F5)</f>
        <v>8</v>
      </c>
    </row>
    <row r="6" spans="2:7" ht="16.5" x14ac:dyDescent="0.3">
      <c r="B6" s="7" t="s">
        <v>22</v>
      </c>
      <c r="C6" s="8">
        <v>0</v>
      </c>
      <c r="D6" s="8">
        <v>0</v>
      </c>
      <c r="E6" s="8">
        <v>1</v>
      </c>
      <c r="F6" s="8">
        <v>0</v>
      </c>
      <c r="G6" s="6">
        <f>SUM(C6:F6)</f>
        <v>1</v>
      </c>
    </row>
    <row r="7" spans="2:7" ht="16.5" x14ac:dyDescent="0.3">
      <c r="B7" s="7" t="s">
        <v>18</v>
      </c>
      <c r="C7" s="8">
        <v>0</v>
      </c>
      <c r="D7" s="8">
        <v>1</v>
      </c>
      <c r="E7" s="8">
        <v>0</v>
      </c>
      <c r="F7" s="8">
        <v>0</v>
      </c>
      <c r="G7" s="6">
        <f>SUM(C7:F7)</f>
        <v>1</v>
      </c>
    </row>
    <row r="8" spans="2:7" ht="16.5" x14ac:dyDescent="0.3">
      <c r="B8" s="9" t="s">
        <v>36</v>
      </c>
      <c r="C8" s="6">
        <f>SUM(C5:C7)</f>
        <v>3</v>
      </c>
      <c r="D8" s="6">
        <f>SUM(D5:D7)</f>
        <v>4</v>
      </c>
      <c r="E8" s="6">
        <f>SUM(E5:E7)</f>
        <v>2</v>
      </c>
      <c r="F8" s="6">
        <f>SUM(F5:F7)</f>
        <v>1</v>
      </c>
      <c r="G8" s="6">
        <f>SUM(G5:G7)</f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Анализ обращений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408</cp:lastModifiedBy>
  <dcterms:created xsi:type="dcterms:W3CDTF">2026-06-09T06:20:05Z</dcterms:created>
  <dcterms:modified xsi:type="dcterms:W3CDTF">2026-06-09T06:21:52Z</dcterms:modified>
</cp:coreProperties>
</file>